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633c76e5aac9fb6/Documents/Claude/Projects/Sierant Residence/"/>
    </mc:Choice>
  </mc:AlternateContent>
  <xr:revisionPtr revIDLastSave="7" documentId="11_A4819577119854640FF1ACD6639EC81DBE045D1A" xr6:coauthVersionLast="47" xr6:coauthVersionMax="47" xr10:uidLastSave="{B764C167-8483-41DF-B0AE-A92F24733C41}"/>
  <bookViews>
    <workbookView xWindow="-110" yWindow="-110" windowWidth="25180" windowHeight="16140" tabRatio="500" xr2:uid="{00000000-000D-0000-FFFF-FFFF00000000}"/>
  </bookViews>
  <sheets>
    <sheet name="Missing Tax – Flagged Bills" sheetId="1" r:id="rId1"/>
    <sheet name="All Jobs Scanne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1" l="1"/>
  <c r="G10" i="1"/>
  <c r="G14" i="1" s="1"/>
  <c r="G9" i="1"/>
  <c r="G8" i="1"/>
  <c r="G7" i="1"/>
  <c r="G6" i="1"/>
  <c r="G5" i="1"/>
  <c r="G4" i="1"/>
  <c r="G13" i="1" s="1"/>
  <c r="F14" i="1"/>
  <c r="F13" i="1"/>
  <c r="F16" i="1" s="1"/>
  <c r="G16" i="1" l="1"/>
</calcChain>
</file>

<file path=xl/sharedStrings.xml><?xml version="1.0" encoding="utf-8"?>
<sst xmlns="http://schemas.openxmlformats.org/spreadsheetml/2006/main" count="160" uniqueCount="80">
  <si>
    <t>Bush Legacy Builders — Missing Tax on Vendor/Supplier Invoices</t>
  </si>
  <si>
    <t>Report generated: April 2, 2026  |  Scope: All jobs (open + closed)  |  Flagged: Canadian vendor invoices with $0 tax recorded</t>
  </si>
  <si>
    <t>Job Name</t>
  </si>
  <si>
    <t>Vendor</t>
  </si>
  <si>
    <t>Bill #</t>
  </si>
  <si>
    <t>Document ID</t>
  </si>
  <si>
    <t>Issue Date</t>
  </si>
  <si>
    <t>Invoice Amount</t>
  </si>
  <si>
    <t>Canadian Vendor?</t>
  </si>
  <si>
    <t>Notes</t>
  </si>
  <si>
    <t>Sierant Residence</t>
  </si>
  <si>
    <t>InGreen Systems</t>
  </si>
  <si>
    <t>260</t>
  </si>
  <si>
    <t>22PTTzJsnL7d</t>
  </si>
  <si>
    <t>Mar 2026</t>
  </si>
  <si>
    <t>Yes ✓</t>
  </si>
  <si>
    <t>Canadian SIP panel supplier; GST should apply</t>
  </si>
  <si>
    <t>182</t>
  </si>
  <si>
    <t>22PPTtpTJrS5</t>
  </si>
  <si>
    <t>Dec 2025</t>
  </si>
  <si>
    <t>Beeksma Residence</t>
  </si>
  <si>
    <t>87</t>
  </si>
  <si>
    <t>22PNFKxqdpB4</t>
  </si>
  <si>
    <t>34</t>
  </si>
  <si>
    <t>22PJDBpncmda</t>
  </si>
  <si>
    <t>Oct 2025</t>
  </si>
  <si>
    <t>41</t>
  </si>
  <si>
    <t>22PKx7j3gw7W</t>
  </si>
  <si>
    <t>Gearke Residence</t>
  </si>
  <si>
    <t>Insulspan / Plasti-Fab Ltd</t>
  </si>
  <si>
    <t>10</t>
  </si>
  <si>
    <t>22PB42TYeu8h</t>
  </si>
  <si>
    <t>Jun 2025</t>
  </si>
  <si>
    <t>Canadian SIP manufacturer (Plasti-Fab); GST should apply</t>
  </si>
  <si>
    <t>7</t>
  </si>
  <si>
    <t>22PAkSXF3fXF</t>
  </si>
  <si>
    <t>May 2025</t>
  </si>
  <si>
    <t>2</t>
  </si>
  <si>
    <t>22P5rrpHUHgH</t>
  </si>
  <si>
    <t>Mar 2025</t>
  </si>
  <si>
    <t>InGreen Systems  —  Subtotal</t>
  </si>
  <si>
    <t>Insulspan / Plasti-Fab Ltd  —  Subtotal</t>
  </si>
  <si>
    <t>GRAND TOTAL — ALL FLAGGED BILLS</t>
  </si>
  <si>
    <t>All Jobs Scanned for Missing Tax — April 2, 2026</t>
  </si>
  <si>
    <t>21 total jobs reviewed (18 open + 3 closed)  |  Vendor bills (type: vendorBill) pulled for each job</t>
  </si>
  <si>
    <t>Status</t>
  </si>
  <si>
    <t>Vendor Bills Reviewed</t>
  </si>
  <si>
    <t>Missing Tax Found?</t>
  </si>
  <si>
    <t>Open</t>
  </si>
  <si>
    <t>300+</t>
  </si>
  <si>
    <t>YES — InGreen Systems (2 bills)</t>
  </si>
  <si>
    <t>Spier Residence</t>
  </si>
  <si>
    <t>400+</t>
  </si>
  <si>
    <t>No</t>
  </si>
  <si>
    <t>~50</t>
  </si>
  <si>
    <t>YES — InGreen Systems (3 bills)</t>
  </si>
  <si>
    <t>~30</t>
  </si>
  <si>
    <t>YES — Insulspan/Plasti-Fab (3 bills)</t>
  </si>
  <si>
    <t>Ashenbrenner Remodel</t>
  </si>
  <si>
    <t>~20</t>
  </si>
  <si>
    <t>LeDrew Addition/Remodel</t>
  </si>
  <si>
    <t>Cooper Residence</t>
  </si>
  <si>
    <t>~10</t>
  </si>
  <si>
    <t>Hoekstra Residence</t>
  </si>
  <si>
    <t>DeJong Residence</t>
  </si>
  <si>
    <t>Loewen Residence</t>
  </si>
  <si>
    <t>Vandenberg Residence</t>
  </si>
  <si>
    <t>Vriend Residence</t>
  </si>
  <si>
    <t>Baas Residence</t>
  </si>
  <si>
    <t>Timmer Residence</t>
  </si>
  <si>
    <t>Schaafsma Residence</t>
  </si>
  <si>
    <t>Devries Residence</t>
  </si>
  <si>
    <t>Heyboer Residence</t>
  </si>
  <si>
    <t>~5</t>
  </si>
  <si>
    <t>Greenfield Spec Home</t>
  </si>
  <si>
    <t>Closed Job 1</t>
  </si>
  <si>
    <t>Closed</t>
  </si>
  <si>
    <t>Closed Job 2</t>
  </si>
  <si>
    <t>Closed Job 3</t>
  </si>
  <si>
    <t>Est. Missing GST (6%)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</si>
</sst>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C00000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b/>
      <sz val="13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theme="6" tint="0.79998168889431442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9595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8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left" vertical="center"/>
    </xf>
    <xf numFmtId="164" fontId="7" fillId="4" borderId="2" xfId="0" applyNumberFormat="1" applyFont="1" applyFill="1" applyBorder="1" applyAlignment="1">
      <alignment horizontal="right"/>
    </xf>
    <xf numFmtId="164" fontId="5" fillId="4" borderId="2" xfId="0" applyNumberFormat="1" applyFont="1" applyFill="1" applyBorder="1" applyAlignment="1">
      <alignment horizontal="right"/>
    </xf>
    <xf numFmtId="0" fontId="0" fillId="4" borderId="1" xfId="0" applyFill="1" applyBorder="1"/>
    <xf numFmtId="164" fontId="7" fillId="5" borderId="2" xfId="0" applyNumberFormat="1" applyFont="1" applyFill="1" applyBorder="1" applyAlignment="1">
      <alignment horizontal="right"/>
    </xf>
    <xf numFmtId="164" fontId="5" fillId="5" borderId="2" xfId="0" applyNumberFormat="1" applyFont="1" applyFill="1" applyBorder="1" applyAlignment="1">
      <alignment horizontal="right"/>
    </xf>
    <xf numFmtId="0" fontId="0" fillId="5" borderId="1" xfId="0" applyFill="1" applyBorder="1"/>
    <xf numFmtId="164" fontId="3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showGridLines="0" tabSelected="1" zoomScaleNormal="100" workbookViewId="0">
      <pane ySplit="3" topLeftCell="A4" activePane="bottomLeft" state="frozen"/>
      <selection pane="bottomLeft" activeCell="G5" sqref="G5"/>
    </sheetView>
  </sheetViews>
  <sheetFormatPr defaultColWidth="8.6328125" defaultRowHeight="14.5" x14ac:dyDescent="0.35"/>
  <cols>
    <col min="1" max="1" width="24" customWidth="1"/>
    <col min="2" max="2" width="26" customWidth="1"/>
    <col min="3" max="3" width="8" customWidth="1"/>
    <col min="4" max="4" width="18" customWidth="1"/>
    <col min="5" max="5" width="12" customWidth="1"/>
    <col min="6" max="6" width="18" customWidth="1"/>
    <col min="7" max="7" width="22" customWidth="1"/>
    <col min="8" max="8" width="14" customWidth="1"/>
    <col min="9" max="9" width="44" customWidth="1"/>
  </cols>
  <sheetData>
    <row r="1" spans="1:9" ht="39.75" customHeight="1" x14ac:dyDescent="0.3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18" customHeight="1" x14ac:dyDescent="0.35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9" ht="31.5" customHeigh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79</v>
      </c>
      <c r="H3" s="7" t="s">
        <v>8</v>
      </c>
      <c r="I3" s="7" t="s">
        <v>9</v>
      </c>
    </row>
    <row r="4" spans="1:9" x14ac:dyDescent="0.35">
      <c r="A4" s="8" t="s">
        <v>10</v>
      </c>
      <c r="B4" s="8" t="s">
        <v>11</v>
      </c>
      <c r="C4" s="9" t="s">
        <v>12</v>
      </c>
      <c r="D4" s="8" t="s">
        <v>13</v>
      </c>
      <c r="E4" s="9" t="s">
        <v>14</v>
      </c>
      <c r="F4" s="10">
        <v>44370.8</v>
      </c>
      <c r="G4" s="11">
        <f>F5*0.06</f>
        <v>1042.2198000000001</v>
      </c>
      <c r="H4" s="9" t="s">
        <v>15</v>
      </c>
      <c r="I4" s="8" t="s">
        <v>16</v>
      </c>
    </row>
    <row r="5" spans="1:9" x14ac:dyDescent="0.35">
      <c r="A5" s="8" t="s">
        <v>10</v>
      </c>
      <c r="B5" s="8" t="s">
        <v>11</v>
      </c>
      <c r="C5" s="9" t="s">
        <v>17</v>
      </c>
      <c r="D5" s="8" t="s">
        <v>18</v>
      </c>
      <c r="E5" s="9" t="s">
        <v>19</v>
      </c>
      <c r="F5" s="10">
        <v>17370.330000000002</v>
      </c>
      <c r="G5" s="11">
        <f t="shared" ref="G5:G11" si="0">F6*0.06</f>
        <v>2164.4219999999996</v>
      </c>
      <c r="H5" s="9" t="s">
        <v>15</v>
      </c>
      <c r="I5" s="8" t="s">
        <v>16</v>
      </c>
    </row>
    <row r="6" spans="1:9" x14ac:dyDescent="0.35">
      <c r="A6" s="8" t="s">
        <v>20</v>
      </c>
      <c r="B6" s="8" t="s">
        <v>11</v>
      </c>
      <c r="C6" s="9" t="s">
        <v>21</v>
      </c>
      <c r="D6" s="8" t="s">
        <v>22</v>
      </c>
      <c r="E6" s="9" t="s">
        <v>19</v>
      </c>
      <c r="F6" s="10">
        <v>36073.699999999997</v>
      </c>
      <c r="G6" s="11">
        <f t="shared" si="0"/>
        <v>2164.4219999999996</v>
      </c>
      <c r="H6" s="9" t="s">
        <v>15</v>
      </c>
      <c r="I6" s="8" t="s">
        <v>16</v>
      </c>
    </row>
    <row r="7" spans="1:9" x14ac:dyDescent="0.35">
      <c r="A7" s="8" t="s">
        <v>20</v>
      </c>
      <c r="B7" s="8" t="s">
        <v>11</v>
      </c>
      <c r="C7" s="9" t="s">
        <v>23</v>
      </c>
      <c r="D7" s="8" t="s">
        <v>24</v>
      </c>
      <c r="E7" s="9" t="s">
        <v>25</v>
      </c>
      <c r="F7" s="10">
        <v>36073.699999999997</v>
      </c>
      <c r="G7" s="11">
        <f t="shared" si="0"/>
        <v>4.5</v>
      </c>
      <c r="H7" s="9" t="s">
        <v>15</v>
      </c>
      <c r="I7" s="8" t="s">
        <v>16</v>
      </c>
    </row>
    <row r="8" spans="1:9" x14ac:dyDescent="0.35">
      <c r="A8" s="8" t="s">
        <v>20</v>
      </c>
      <c r="B8" s="8" t="s">
        <v>11</v>
      </c>
      <c r="C8" s="9" t="s">
        <v>26</v>
      </c>
      <c r="D8" s="8" t="s">
        <v>27</v>
      </c>
      <c r="E8" s="9" t="s">
        <v>25</v>
      </c>
      <c r="F8" s="10">
        <v>75</v>
      </c>
      <c r="G8" s="11">
        <f t="shared" si="0"/>
        <v>1985.9399999999998</v>
      </c>
      <c r="H8" s="9" t="s">
        <v>15</v>
      </c>
      <c r="I8" s="8" t="s">
        <v>16</v>
      </c>
    </row>
    <row r="9" spans="1:9" x14ac:dyDescent="0.35">
      <c r="A9" s="12" t="s">
        <v>28</v>
      </c>
      <c r="B9" s="12" t="s">
        <v>29</v>
      </c>
      <c r="C9" s="13" t="s">
        <v>30</v>
      </c>
      <c r="D9" s="12" t="s">
        <v>31</v>
      </c>
      <c r="E9" s="13" t="s">
        <v>32</v>
      </c>
      <c r="F9" s="14">
        <v>33099</v>
      </c>
      <c r="G9" s="27">
        <f t="shared" si="0"/>
        <v>1346.3999999999999</v>
      </c>
      <c r="H9" s="13" t="s">
        <v>15</v>
      </c>
      <c r="I9" s="12" t="s">
        <v>33</v>
      </c>
    </row>
    <row r="10" spans="1:9" x14ac:dyDescent="0.35">
      <c r="A10" s="12" t="s">
        <v>28</v>
      </c>
      <c r="B10" s="12" t="s">
        <v>29</v>
      </c>
      <c r="C10" s="13" t="s">
        <v>34</v>
      </c>
      <c r="D10" s="12" t="s">
        <v>35</v>
      </c>
      <c r="E10" s="13" t="s">
        <v>36</v>
      </c>
      <c r="F10" s="14">
        <v>22440</v>
      </c>
      <c r="G10" s="27">
        <f t="shared" si="0"/>
        <v>389.09999999999997</v>
      </c>
      <c r="H10" s="13" t="s">
        <v>15</v>
      </c>
      <c r="I10" s="12" t="s">
        <v>33</v>
      </c>
    </row>
    <row r="11" spans="1:9" x14ac:dyDescent="0.35">
      <c r="A11" s="12" t="s">
        <v>28</v>
      </c>
      <c r="B11" s="12" t="s">
        <v>29</v>
      </c>
      <c r="C11" s="13" t="s">
        <v>37</v>
      </c>
      <c r="D11" s="12" t="s">
        <v>38</v>
      </c>
      <c r="E11" s="13" t="s">
        <v>39</v>
      </c>
      <c r="F11" s="14">
        <v>6485</v>
      </c>
      <c r="G11" s="27">
        <f t="shared" si="0"/>
        <v>0</v>
      </c>
      <c r="H11" s="13" t="s">
        <v>15</v>
      </c>
      <c r="I11" s="12" t="s">
        <v>33</v>
      </c>
    </row>
    <row r="13" spans="1:9" ht="18" customHeight="1" x14ac:dyDescent="0.35">
      <c r="A13" s="4" t="s">
        <v>40</v>
      </c>
      <c r="B13" s="4"/>
      <c r="C13" s="4"/>
      <c r="D13" s="4"/>
      <c r="E13" s="4"/>
      <c r="F13" s="15">
        <f>SUM(F4:F8)</f>
        <v>133963.53</v>
      </c>
      <c r="G13" s="16">
        <f>SUM(G4:G8)</f>
        <v>7361.5037999999986</v>
      </c>
      <c r="H13" s="17"/>
      <c r="I13" s="17"/>
    </row>
    <row r="14" spans="1:9" ht="18" customHeight="1" x14ac:dyDescent="0.35">
      <c r="A14" s="3" t="s">
        <v>41</v>
      </c>
      <c r="B14" s="3"/>
      <c r="C14" s="3"/>
      <c r="D14" s="3"/>
      <c r="E14" s="3"/>
      <c r="F14" s="18">
        <f>SUM(F9:F11)</f>
        <v>62024</v>
      </c>
      <c r="G14" s="19">
        <f>SUM(G9:G11)</f>
        <v>1735.4999999999998</v>
      </c>
      <c r="H14" s="20"/>
      <c r="I14" s="20"/>
    </row>
    <row r="16" spans="1:9" ht="21.75" customHeight="1" x14ac:dyDescent="0.35">
      <c r="A16" s="2" t="s">
        <v>42</v>
      </c>
      <c r="B16" s="2"/>
      <c r="C16" s="2"/>
      <c r="D16" s="2"/>
      <c r="E16" s="2"/>
      <c r="F16" s="21">
        <f>F13+F14</f>
        <v>195987.53</v>
      </c>
      <c r="G16" s="21">
        <f>G13+G14</f>
        <v>9097.0037999999986</v>
      </c>
      <c r="H16" s="22"/>
      <c r="I16" s="22"/>
    </row>
  </sheetData>
  <mergeCells count="5">
    <mergeCell ref="A1:I1"/>
    <mergeCell ref="A2:I2"/>
    <mergeCell ref="A13:E13"/>
    <mergeCell ref="A14:E14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10" customWidth="1"/>
    <col min="3" max="3" width="22" customWidth="1"/>
    <col min="4" max="4" width="40" customWidth="1"/>
  </cols>
  <sheetData>
    <row r="1" spans="1:4" ht="31.5" customHeight="1" x14ac:dyDescent="0.35">
      <c r="A1" s="1" t="s">
        <v>43</v>
      </c>
      <c r="B1" s="1"/>
      <c r="C1" s="1"/>
      <c r="D1" s="1"/>
    </row>
    <row r="2" spans="1:4" ht="18" customHeight="1" x14ac:dyDescent="0.35">
      <c r="A2" s="5" t="s">
        <v>44</v>
      </c>
      <c r="B2" s="5"/>
      <c r="C2" s="5"/>
      <c r="D2" s="5"/>
    </row>
    <row r="3" spans="1:4" ht="27.75" customHeight="1" x14ac:dyDescent="0.35">
      <c r="A3" s="23" t="s">
        <v>2</v>
      </c>
      <c r="B3" s="23" t="s">
        <v>45</v>
      </c>
      <c r="C3" s="23" t="s">
        <v>46</v>
      </c>
      <c r="D3" s="23" t="s">
        <v>47</v>
      </c>
    </row>
    <row r="4" spans="1:4" ht="15.75" customHeight="1" x14ac:dyDescent="0.35">
      <c r="A4" s="8" t="s">
        <v>10</v>
      </c>
      <c r="B4" s="9" t="s">
        <v>48</v>
      </c>
      <c r="C4" s="9" t="s">
        <v>49</v>
      </c>
      <c r="D4" s="24" t="s">
        <v>50</v>
      </c>
    </row>
    <row r="5" spans="1:4" ht="15.75" customHeight="1" x14ac:dyDescent="0.35">
      <c r="A5" s="25" t="s">
        <v>51</v>
      </c>
      <c r="B5" s="26" t="s">
        <v>48</v>
      </c>
      <c r="C5" s="26" t="s">
        <v>52</v>
      </c>
      <c r="D5" s="25" t="s">
        <v>53</v>
      </c>
    </row>
    <row r="6" spans="1:4" ht="15.75" customHeight="1" x14ac:dyDescent="0.35">
      <c r="A6" s="8" t="s">
        <v>20</v>
      </c>
      <c r="B6" s="9" t="s">
        <v>48</v>
      </c>
      <c r="C6" s="9" t="s">
        <v>54</v>
      </c>
      <c r="D6" s="24" t="s">
        <v>55</v>
      </c>
    </row>
    <row r="7" spans="1:4" ht="15.75" customHeight="1" x14ac:dyDescent="0.35">
      <c r="A7" s="8" t="s">
        <v>28</v>
      </c>
      <c r="B7" s="9" t="s">
        <v>48</v>
      </c>
      <c r="C7" s="9" t="s">
        <v>56</v>
      </c>
      <c r="D7" s="24" t="s">
        <v>57</v>
      </c>
    </row>
    <row r="8" spans="1:4" ht="15.75" customHeight="1" x14ac:dyDescent="0.35">
      <c r="A8" s="25" t="s">
        <v>58</v>
      </c>
      <c r="B8" s="26" t="s">
        <v>48</v>
      </c>
      <c r="C8" s="26" t="s">
        <v>59</v>
      </c>
      <c r="D8" s="25" t="s">
        <v>53</v>
      </c>
    </row>
    <row r="9" spans="1:4" ht="15.75" customHeight="1" x14ac:dyDescent="0.35">
      <c r="A9" s="25" t="s">
        <v>60</v>
      </c>
      <c r="B9" s="26" t="s">
        <v>48</v>
      </c>
      <c r="C9" s="26" t="s">
        <v>59</v>
      </c>
      <c r="D9" s="25" t="s">
        <v>53</v>
      </c>
    </row>
    <row r="10" spans="1:4" ht="15.75" customHeight="1" x14ac:dyDescent="0.35">
      <c r="A10" s="25" t="s">
        <v>61</v>
      </c>
      <c r="B10" s="26" t="s">
        <v>48</v>
      </c>
      <c r="C10" s="26" t="s">
        <v>62</v>
      </c>
      <c r="D10" s="25" t="s">
        <v>53</v>
      </c>
    </row>
    <row r="11" spans="1:4" ht="15.75" customHeight="1" x14ac:dyDescent="0.35">
      <c r="A11" s="25" t="s">
        <v>63</v>
      </c>
      <c r="B11" s="26" t="s">
        <v>48</v>
      </c>
      <c r="C11" s="26" t="s">
        <v>62</v>
      </c>
      <c r="D11" s="25" t="s">
        <v>53</v>
      </c>
    </row>
    <row r="12" spans="1:4" ht="15.75" customHeight="1" x14ac:dyDescent="0.35">
      <c r="A12" s="25" t="s">
        <v>64</v>
      </c>
      <c r="B12" s="26" t="s">
        <v>48</v>
      </c>
      <c r="C12" s="26" t="s">
        <v>62</v>
      </c>
      <c r="D12" s="25" t="s">
        <v>53</v>
      </c>
    </row>
    <row r="13" spans="1:4" ht="15.75" customHeight="1" x14ac:dyDescent="0.35">
      <c r="A13" s="25" t="s">
        <v>65</v>
      </c>
      <c r="B13" s="26" t="s">
        <v>48</v>
      </c>
      <c r="C13" s="26" t="s">
        <v>62</v>
      </c>
      <c r="D13" s="25" t="s">
        <v>53</v>
      </c>
    </row>
    <row r="14" spans="1:4" ht="15.75" customHeight="1" x14ac:dyDescent="0.35">
      <c r="A14" s="25" t="s">
        <v>66</v>
      </c>
      <c r="B14" s="26" t="s">
        <v>48</v>
      </c>
      <c r="C14" s="26" t="s">
        <v>62</v>
      </c>
      <c r="D14" s="25" t="s">
        <v>53</v>
      </c>
    </row>
    <row r="15" spans="1:4" ht="15.75" customHeight="1" x14ac:dyDescent="0.35">
      <c r="A15" s="25" t="s">
        <v>67</v>
      </c>
      <c r="B15" s="26" t="s">
        <v>48</v>
      </c>
      <c r="C15" s="26" t="s">
        <v>62</v>
      </c>
      <c r="D15" s="25" t="s">
        <v>53</v>
      </c>
    </row>
    <row r="16" spans="1:4" ht="15.75" customHeight="1" x14ac:dyDescent="0.35">
      <c r="A16" s="25" t="s">
        <v>68</v>
      </c>
      <c r="B16" s="26" t="s">
        <v>48</v>
      </c>
      <c r="C16" s="26" t="s">
        <v>62</v>
      </c>
      <c r="D16" s="25" t="s">
        <v>53</v>
      </c>
    </row>
    <row r="17" spans="1:4" ht="15.75" customHeight="1" x14ac:dyDescent="0.35">
      <c r="A17" s="25" t="s">
        <v>69</v>
      </c>
      <c r="B17" s="26" t="s">
        <v>48</v>
      </c>
      <c r="C17" s="26" t="s">
        <v>62</v>
      </c>
      <c r="D17" s="25" t="s">
        <v>53</v>
      </c>
    </row>
    <row r="18" spans="1:4" ht="15.75" customHeight="1" x14ac:dyDescent="0.35">
      <c r="A18" s="25" t="s">
        <v>70</v>
      </c>
      <c r="B18" s="26" t="s">
        <v>48</v>
      </c>
      <c r="C18" s="26" t="s">
        <v>62</v>
      </c>
      <c r="D18" s="25" t="s">
        <v>53</v>
      </c>
    </row>
    <row r="19" spans="1:4" ht="15.75" customHeight="1" x14ac:dyDescent="0.35">
      <c r="A19" s="25" t="s">
        <v>71</v>
      </c>
      <c r="B19" s="26" t="s">
        <v>48</v>
      </c>
      <c r="C19" s="26" t="s">
        <v>62</v>
      </c>
      <c r="D19" s="25" t="s">
        <v>53</v>
      </c>
    </row>
    <row r="20" spans="1:4" ht="15.75" customHeight="1" x14ac:dyDescent="0.35">
      <c r="A20" s="25" t="s">
        <v>72</v>
      </c>
      <c r="B20" s="26" t="s">
        <v>48</v>
      </c>
      <c r="C20" s="26" t="s">
        <v>73</v>
      </c>
      <c r="D20" s="25" t="s">
        <v>53</v>
      </c>
    </row>
    <row r="21" spans="1:4" ht="15.75" customHeight="1" x14ac:dyDescent="0.35">
      <c r="A21" s="25" t="s">
        <v>74</v>
      </c>
      <c r="B21" s="26" t="s">
        <v>48</v>
      </c>
      <c r="C21" s="26" t="s">
        <v>73</v>
      </c>
      <c r="D21" s="25" t="s">
        <v>53</v>
      </c>
    </row>
    <row r="22" spans="1:4" ht="15.75" customHeight="1" x14ac:dyDescent="0.35">
      <c r="A22" s="25" t="s">
        <v>75</v>
      </c>
      <c r="B22" s="26" t="s">
        <v>76</v>
      </c>
      <c r="C22" s="26" t="s">
        <v>73</v>
      </c>
      <c r="D22" s="25" t="s">
        <v>53</v>
      </c>
    </row>
    <row r="23" spans="1:4" ht="15.75" customHeight="1" x14ac:dyDescent="0.35">
      <c r="A23" s="25" t="s">
        <v>77</v>
      </c>
      <c r="B23" s="26" t="s">
        <v>76</v>
      </c>
      <c r="C23" s="26" t="s">
        <v>73</v>
      </c>
      <c r="D23" s="25" t="s">
        <v>53</v>
      </c>
    </row>
    <row r="24" spans="1:4" ht="15.75" customHeight="1" x14ac:dyDescent="0.35">
      <c r="A24" s="25" t="s">
        <v>78</v>
      </c>
      <c r="B24" s="26" t="s">
        <v>76</v>
      </c>
      <c r="C24" s="26" t="s">
        <v>73</v>
      </c>
      <c r="D24" s="25" t="s">
        <v>53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Tax – Flagged Bills</vt:lpstr>
      <vt:lpstr>All Jobs Scanned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Jeffrey Bickish</cp:lastModifiedBy>
  <cp:revision>0</cp:revision>
  <dcterms:created xsi:type="dcterms:W3CDTF">2026-04-03T01:54:30Z</dcterms:created>
  <dcterms:modified xsi:type="dcterms:W3CDTF">2026-04-03T02:13:44Z</dcterms:modified>
  <dc:language>en-US</dc:language>
</cp:coreProperties>
</file>